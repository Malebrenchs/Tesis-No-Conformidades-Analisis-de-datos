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Controles de calidad IDC\"/>
    </mc:Choice>
  </mc:AlternateContent>
  <bookViews>
    <workbookView xWindow="0" yWindow="0" windowWidth="21600" windowHeight="9210"/>
  </bookViews>
  <sheets>
    <sheet name="NC" sheetId="3" r:id="rId1"/>
    <sheet name="RESUMEN" sheetId="2" r:id="rId2"/>
  </sheets>
  <definedNames>
    <definedName name="_xlnm._FilterDatabase" localSheetId="0" hidden="1">NC!$A$9:$H$69</definedName>
    <definedName name="_xlnm.Print_Area" localSheetId="0">NC!$A$1:$H$70</definedName>
    <definedName name="_xlnm.Print_Titles" localSheetId="0">NC!$1:$9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" i="3" l="1"/>
  <c r="C21" i="2"/>
  <c r="C20" i="2"/>
  <c r="C19" i="2"/>
  <c r="C18" i="2"/>
  <c r="F19" i="2" l="1"/>
</calcChain>
</file>

<file path=xl/sharedStrings.xml><?xml version="1.0" encoding="utf-8"?>
<sst xmlns="http://schemas.openxmlformats.org/spreadsheetml/2006/main" count="325" uniqueCount="177">
  <si>
    <t>CONTROL DE CALIDAD</t>
  </si>
  <si>
    <t>GESTIÓN DE CALIDAD</t>
  </si>
  <si>
    <t>CONTROL DE NO CONFORMIDADES</t>
  </si>
  <si>
    <t>PROYECTO</t>
  </si>
  <si>
    <t>: “MEJORAMIENTO Y AMPLIACIÓN DE LOS SERVICIOS DE SALUD DEL PRIMER NIVEL DE ATENCIÓN DE LA RED INTEGRADA DE SALUD ATE, VITARTE DEL DISTRITO DE ATE – PROVINCIA DE LIMA DEPARTAMENTO DE LIMA”</t>
  </si>
  <si>
    <t>SUPERVISIÓN</t>
  </si>
  <si>
    <t>: INSTITUTO DE CONSULTORÍA SAC</t>
  </si>
  <si>
    <t>CLIENTE</t>
  </si>
  <si>
    <t>: PROGRAMA CREACIÓN DE REDES INTEGRADAS DE SALUD -PCRIS</t>
  </si>
  <si>
    <t>ITEM</t>
  </si>
  <si>
    <t>Co.128-2024-IDC/Obra-Ate-PCRIS</t>
  </si>
  <si>
    <t>NC-001</t>
  </si>
  <si>
    <t>AL REALIZAR EL RETIRO DE ENCOFRADO DE LA LOSA DE CIMENTACIÓN, EN LA SECCIÓN DE LA COLUMNA C1 (EJE 9/N), EL NIVEL DE VACIADO NO ES LO REQUERIDO SEGÚN PLANO DEL PROYECTO.</t>
  </si>
  <si>
    <t>Carta N°0232-2024-BRI-IDC-ATE</t>
  </si>
  <si>
    <t>SE ENVIÓ EL PROCEDIMIENTO DE REPARACIÓN DE LA LOSA DE CIMENTACIÓN DEL MÓDULO II.</t>
  </si>
  <si>
    <t>EN PROCESO</t>
  </si>
  <si>
    <t>Observación o PNC con carta respondida pero no levantada.</t>
  </si>
  <si>
    <t>CERRADO</t>
  </si>
  <si>
    <t>Observación o PNC levantada.</t>
  </si>
  <si>
    <t>Observación o PNC en proceso de levantamiento.</t>
  </si>
  <si>
    <t>ABIERTA</t>
  </si>
  <si>
    <t>N° DE NO CONFORMIDAD</t>
  </si>
  <si>
    <t>REMITENTE</t>
  </si>
  <si>
    <t>DESCRIPCIÓN DEL PRODUCTO NO CONFORME / ASUNTO / RESUMEN</t>
  </si>
  <si>
    <t>ESTADO DE LA NO CONFORMIDAD</t>
  </si>
  <si>
    <t>FECHA DE INGRESO DE CARTA / FECHA DE ENVÍO DE CARTA</t>
  </si>
  <si>
    <t>EMISIÓN DE NC</t>
  </si>
  <si>
    <t>RESPUESTA</t>
  </si>
  <si>
    <t>SEGUIMIENTO</t>
  </si>
  <si>
    <t>CIERRE</t>
  </si>
  <si>
    <t>SUPERVISIÓN INDICA QUE LA NC SIGUE ABIERTA</t>
  </si>
  <si>
    <t>TIPO DE COMUNICACIÓN</t>
  </si>
  <si>
    <t>EMISIÓN DE LA NO CONFORMIDAD</t>
  </si>
  <si>
    <t>N° CARTA RECIBIDA O ENVIADA</t>
  </si>
  <si>
    <t>BRICONS</t>
  </si>
  <si>
    <t>RESPUESTA A LA NO CONFORMIDAD</t>
  </si>
  <si>
    <t>Co.138-2024-IDC/Obra-Ate-PCRIS</t>
  </si>
  <si>
    <t>SE DA CONFORMIDAD AL PROCEDIMIENTO DEL LEVANTAMIENTO DE OBSERVACIÓN. SE SUGIERE QUE SE EJECUTE DE INMEDIATO.</t>
  </si>
  <si>
    <t>NC-002</t>
  </si>
  <si>
    <t>Co.147-2024-IDC/Obra-Ate-PCRIS</t>
  </si>
  <si>
    <t>SE CONSTA QUE AL MOMENTO DE DESENCOFRAR LOS ELEMENTOS VACIADOS EL DÍA 02/09/2024 LA EXISTENCIA DE CANGREJERAS EN MUROS Y COLUMNAS, ESTO DEBIDO AL MAL VIBRADO DE LOS ELEMENTOS EN MENCIÓN</t>
  </si>
  <si>
    <t>Carta N°0265-2024-BRI-IDC-ATE</t>
  </si>
  <si>
    <t>SE ENVIÓ EL PROCESO DE LEVANTAMIENTO DE LA NC-002 CON EVIDENCIA FOTOGRÁFICA.</t>
  </si>
  <si>
    <t>Co.177-2024-IDC/Obra-Ate-PCRIS</t>
  </si>
  <si>
    <t>EL LEVANTAMIENTO A LA NC-002 SE CONCLUYÓ PERO SE REQUIERE ACTUALIZAR LAS CONCLUSIONES Y/O RECOMENDACIONES</t>
  </si>
  <si>
    <t>Carta N°0281-2024-BRI-IDC-ATE</t>
  </si>
  <si>
    <t>SE LEVANTA LA OBSERVACIÓN DE LAS CONCLUSIONES Y RECOMENDACIONES</t>
  </si>
  <si>
    <t>NC-003</t>
  </si>
  <si>
    <t>Co.159-2024-IDC/Obra-Ate-PCRIS</t>
  </si>
  <si>
    <t>SE CONSTATA QUE AL MOMENTO DE DESENCOFRAR LOS ELEMENTO VACIADOS EL DÍA 06/09/24 LA EXISTENCIA DE CANGREJERAS EN LA COLUMNA C1, ESTO DEBIDO AL MAL VIBRADO DE LOS ELEMENTOS EN MENCIÓN.</t>
  </si>
  <si>
    <t>Carta N°0275-2024-BRI-IDC-ATE</t>
  </si>
  <si>
    <t>SE ENVIÓ EL PROCESO DE LEVANTAMIENTO DE LA NC-003 CON EVIDENCIA FOTOGRÁFICA.</t>
  </si>
  <si>
    <t>Co.178-2024-IDC/Obra-Ate-PCRIS</t>
  </si>
  <si>
    <t>EL LEVANTAMIENTO A LA NC-003 SE CONCLUYÓ PERO SE DEBE ACTUALIZAR LA FECHA DEL INFORME DEL ESPECIALISTA ESTRUCTURAL</t>
  </si>
  <si>
    <t>Carta N°0289-2024-BRI-IDC-ATE</t>
  </si>
  <si>
    <t>SE LEVANTÓ LAS OBSERVACIONES DEL INFORME INFORME N°017-2024-BRICONS-HIRH_EE</t>
  </si>
  <si>
    <t>Co.189-2024-IDC/Obra-Ate-PCRIS</t>
  </si>
  <si>
    <t>NC-004</t>
  </si>
  <si>
    <t>SE CONSTATA QUE AL MOMENTO DE DESENCOFRAR LOS ELEMENTOS VACIADOS EL DÍA 16/10/24, SE EVIDENCI LA EXISTENCIA DE CANGREJERAS EN LA COLUMNA C1, ESTO DEBIDO AL MAL VIBRADO DEL ELEMENTO EN MENCIÓN.</t>
  </si>
  <si>
    <t>Carta N°0332-2024-BRI-IDC-ATE</t>
  </si>
  <si>
    <t>SE ENVIÓ EL PROCESO DE LEVANTAMIENTO DE LA NC-004 CON EVIDENCIA FOTOGRÁFICA.</t>
  </si>
  <si>
    <t>Co.217-2024-IDC/Obra-Ate-PCRIS</t>
  </si>
  <si>
    <t>SE DA CONFORMIDAD A LA NO CONFORMIDAD LUEGO QUE SU REPRESENTADA HA CUMPLIDO CON REALIZAR LAS REPARACIONES INDICADAS</t>
  </si>
  <si>
    <t>NC-005</t>
  </si>
  <si>
    <t>Co.208-2024-IDC/Obra-Ate-PCRIS</t>
  </si>
  <si>
    <t>CON FECHA 28/10/2024 SE PRESENTÓ INFORME N°057-2024 IDC ATE HOE CALIDAD, EN LA QUE SE INDICA LA EXISTENCIA DE CANGREJERAS EN EL MURO UBICADO EN B/15-16. SE LES DIÓ UN PLAZO DE 02 DÍAS PARA QUE LEVANTEN ESTAS OBSERVACIONES, HAN TRANSCURRIDO 09 DÍAS Y A LA FECHA NO LEVANTAN LAS OBSERVACIONES POR LO QUE SE GENERA LA NO CONFORMIDAD 05</t>
  </si>
  <si>
    <t>Carta N°0346-2024-BRI-IDC-ATE</t>
  </si>
  <si>
    <t>LEVANTAMIENTO DE LA NO CONFORMIDAD N°05</t>
  </si>
  <si>
    <t>Co.227-2024-IDC/Obra-Ate-PCRIS</t>
  </si>
  <si>
    <t>Co.273-2024-IDC/Obra-Ate-PCRIS</t>
  </si>
  <si>
    <t>SE CONSTATA PRESENCIA DE CANGREJERAS AL MOMENTO DE VACIAR ELEMENTOS VERTICALES, UBICADOS EN LOS MÓDULOS I Y II DEL PRIMER Y SEGUNDO NIVEL.</t>
  </si>
  <si>
    <t>Carta N°076-2025-BRI-IDC-ATE</t>
  </si>
  <si>
    <t xml:space="preserve">RESPUESTA A LA OBSERVACIÓN DE LOS CERTIFICADOS DE CALIBRACIÓN DE LOS INSTRUMENTOS DE MEDICIÓN </t>
  </si>
  <si>
    <t>Co.073-2025-IDC/Obra-Ate-PCRIS</t>
  </si>
  <si>
    <t>NC-006</t>
  </si>
  <si>
    <t>Co.013-2025-IDC/Obra-Ate-PCRIS</t>
  </si>
  <si>
    <t>SE CONSTATA QUE AL MOMENTO DE DESENCOFRAR LOS ELEMENTOS VACIADOS EL DÍA 05/01/25, SE EVIDENCI LA EXISTENCIA DE CANGREJERAS EN LA COLUMNA C1, ESTO DEBIDO AL MAL VIBRADO DEL ELEMENTO EN MENCIÓN.</t>
  </si>
  <si>
    <t>Carta N°093-2025-BRI-IDC-ATE</t>
  </si>
  <si>
    <t>LEVANTAMIENTO DE LA NO CONFORMIDAD N°07</t>
  </si>
  <si>
    <t>Co.098-2025-IDC/Obra-Ate-PCRIS</t>
  </si>
  <si>
    <t>NC-007</t>
  </si>
  <si>
    <t>NC-008</t>
  </si>
  <si>
    <t>Co.025-2025-IDC/Obra-Ate-PCRIS</t>
  </si>
  <si>
    <t>PLACAS PL1-34 Y PL1-39 SE ENCUENTRA DESALINEADO DE 2 A 3CM (PISO 2)</t>
  </si>
  <si>
    <t>Carta N°094-2025-BRI-IDC-ATE</t>
  </si>
  <si>
    <t>SE ATIENDE LA NC-08: SE REALIZARÁ EL ALINEAMIENTO DE LAS PLACAS CUANDO SE DÉ INICIO A LOS TRABAJOS DE REVESTIMIENTO DE LA FACHADA</t>
  </si>
  <si>
    <t>Co.097-2025-IDC/Obra-Ate-PCRIS</t>
  </si>
  <si>
    <t>SE MANTENDRÁ ABIERTA LA NC-08</t>
  </si>
  <si>
    <t>NC-009</t>
  </si>
  <si>
    <t>Co.086-2025-IDC/Obra-Ate-PCRIS</t>
  </si>
  <si>
    <t>SEGREGACIÓN Y DESALINEAMIENTO DE LA PL1-7 (MÓDULO I PISO 5) // DESALINEAMIENTO DE LA PLACA PL1-20 (MÓDULO II PISO 4)</t>
  </si>
  <si>
    <t>Carta N°0229-2025-BRI-IDC-ATE</t>
  </si>
  <si>
    <t xml:space="preserve">RESPUESTA A LA NO CONFORMIDAD NC-09. SE REALIZARÁ EL LEVANTAMIENTO DE LAS PLACAS PL1-7 Y PL1-20 CUANDO SE REALICE TRABAJOS EN LA FACHADA. </t>
  </si>
  <si>
    <t>Co.232-2025-IDC/Obra-Ate-PCRIS</t>
  </si>
  <si>
    <t>SE MANTENDRÁ ABIERTA LA NC-09</t>
  </si>
  <si>
    <t>NC-010</t>
  </si>
  <si>
    <t>Co.093-2025-IDC/Obra-Ate-PCRIS</t>
  </si>
  <si>
    <t>PLACAS PL1-02, PL1-16 Y PL1-17 SE ENCUENTRAN DESALINEADAS EN 2CM APROXIMADAMENTE</t>
  </si>
  <si>
    <t>Carta N°0230-2025-BRI-IDC-ATE</t>
  </si>
  <si>
    <t>RESPUESTA A LA NO CONFORMIDAD NC-010. ESTÁ PENDIENTE LA PLACA PL1-02.</t>
  </si>
  <si>
    <t>Co.231-2025-IDC/Obra-Ate-PCRIS</t>
  </si>
  <si>
    <t>SE MANTENDRÁ ABIERTA LA NC-10</t>
  </si>
  <si>
    <t>NC-011</t>
  </si>
  <si>
    <t>NC-012</t>
  </si>
  <si>
    <t>Co.134-2025-IDC/Obra-Ate-PCRIS</t>
  </si>
  <si>
    <t>LA PLACA PL1-18 UBICADA EN EL PISO 5, NO SE VACIÓ EN SU TOTALIDAD, ENCONTRÁNDOSE DESNIVELES EN TODO EL TRAMO. SE OBSERVA RESIDUOS DE CONCRETO EN EL ACERO Y EL ENCOFRADO.</t>
  </si>
  <si>
    <t>Carta N°0235-2025-BRI-IDC-ATE</t>
  </si>
  <si>
    <t>LEVANTAMIENTO DE LA NO CONFORMIDAD REFERENTE A LA PLACA PL1-18</t>
  </si>
  <si>
    <t>Co.233-2025-IDC/Obra-Ate-PCRIS</t>
  </si>
  <si>
    <t xml:space="preserve">NO CONFORMIDAD N°12 SUBSANADA </t>
  </si>
  <si>
    <t>Co.143-2025-IDC/Obra-Ate-PCRIS</t>
  </si>
  <si>
    <t>SE CONSTATA FISURAS EN LA LOSA DEL PISO 4 DEL MÓDULO III .</t>
  </si>
  <si>
    <t>NC-013</t>
  </si>
  <si>
    <t>Co.154-2025-IDC/Obra-Ate-PCRIS</t>
  </si>
  <si>
    <t>SE CONSTATA SEGREGACIÓN SUPERFICIAL EN PLACA (ZONA ESTACIONAMIENTO AMBULANCIA)</t>
  </si>
  <si>
    <t>Carta N°0259-2025-BRI-IDC-ATE</t>
  </si>
  <si>
    <t>SE REALIZÓ EL LEVANTAMIENTO DE LA NO CONFORMIDAD</t>
  </si>
  <si>
    <t>Co.271-2025-IDC/Obra-Ate-PCRIS</t>
  </si>
  <si>
    <t>SE CUMPLIÓ CON EL LEVANTAMIENTO DE LA NO CONFORMIDAD</t>
  </si>
  <si>
    <t>NC-014</t>
  </si>
  <si>
    <t>Co.224-2025-IDC/Obra-Ate-PCRIS</t>
  </si>
  <si>
    <t>SE CONSTATA QUE EL ENCOFRADO DE LA LOSA DEL 5TO PISO HA CEDIDO, DEBIDO A QUE LOS PUNTALES METÁLICOS NO FUERON ASEGURADOS CORRECTAMENTE, POR LO QUE SE ENCUENTRA CON UN DESNIVEL DE 4CM POR DEBAJO DE SU NIVEL DE VACIADO.</t>
  </si>
  <si>
    <t>Carta N°0241-2025-BRI-IDC-ATE</t>
  </si>
  <si>
    <t>LA LOSA DE TECHO MANTIENE SU FUNCIONALIDAD ESTRUCTURAL Y CUMPLE CON LOS REQUISITOS DE SEGURIDAD ESTABLECIDOS PARA SU USO PREVISTO.</t>
  </si>
  <si>
    <t>Co.251-2025-IDC/Obra-Ate-PCRIS</t>
  </si>
  <si>
    <t>SE DECLARA NO PROCEDENTE EL LEVANTAMIENTO DE LA NC 14, DEBIDO A QUE NO SE CORRIGIÓ LA DESVIACIÓN RESPECTO A LOS PARÁMETROS CONTRACTUALMENTE ESTABLECIDOS.</t>
  </si>
  <si>
    <t>Carta N°375-2025-BRI-IDC-ATE</t>
  </si>
  <si>
    <t xml:space="preserve">SE PUEDE AFIRMAR QUE LA LOSA DE TECHO MANTIENE SU FUNCIONALIDAD ESTRUCTURAL Y CUMPLE CON LOS REQUISITOS DE SEGURIDAD ESTABLECIDOS PARA SU USO PREVISTO </t>
  </si>
  <si>
    <t>Co.236-2025-IDC/Obra-Ate-PCRIS</t>
  </si>
  <si>
    <t>NC-015</t>
  </si>
  <si>
    <t>NC-016</t>
  </si>
  <si>
    <t>Co.246-2025-IDC/Obra-Ate-PCRIS</t>
  </si>
  <si>
    <t>SE CONSTATA QUE SE ESTÁ COLOCANDO RIELES SOBRE SARDINELES SIN ACABADO SUPERFICIAL (PULIDO)</t>
  </si>
  <si>
    <t>Carta N°0372-2025-BRI-IDC-ATE</t>
  </si>
  <si>
    <t xml:space="preserve"> - LOS SARDINELES FUERON LIBERADOS POR LA SUPERVISIÓN Y QUE SE EJECUTARÁN LOS ACABADOS DE ACUERDO A LAS ESPECIFICACIONES TÉCNICAS. 
 - SE PRESENTÓ LA DOCUMENTACIÓN DEL CERTIFICADO DE SECADO DE MADERAS. 
 - SE RATIFICÓ QUE EL PROCESO CONSTRUCTIVO SE REALIZÓ CONFORME AL PROCEDIMIENTO (PRIMERO VACIADO DE SARDINELES Y LUEGO INSTALACIÓN DE RIELES Y PARANTES). 
 - SE VERIFICÓ QUE LAS COLUMNETAS YA SE ENCONTRABAN TARRAJEADAS. 
SE ENTREGÓ EL PROCEDIMIENTO DE TRABAJO REQUERIDO. </t>
  </si>
  <si>
    <t>NC-018</t>
  </si>
  <si>
    <t>Co.270-2025-IDC/Obra-Ate-PCRIS</t>
  </si>
  <si>
    <t>SE CONSTATA QUE SE ESTÁ TARRAJEANDO SIN REALIZAR PRUEBAS DE PRESIÓN A LAS TUBERÍAS DE COBRE</t>
  </si>
  <si>
    <t>Carta N°0373-2025-BRI-IDC-ATE</t>
  </si>
  <si>
    <t xml:space="preserve">LA NO CONFORMIDAD QUEDÓ ATENDIDA Y CERRADA, DADO QUE SE REALIZARON LAS PRUEBAS DE PRESIÓN A LOS TRAMOS YA TARRAJEADOS, LAS CUALES RESULTARON CONFORMES, Y SE IMPLEMENTÓ LA PRÁCTICA DE REALIZAR LAS PRUEBAS DE PRESIÓN PREVIAS A CUALQUIER TARRAJEO, SEGÚN LO ESTIPULADO EN LAS ESPECIFICACIONES TÉCNICAS DEL PROYECTO. </t>
  </si>
  <si>
    <t>Co.371-2025-IDC/Obra-Ate-PCRIS</t>
  </si>
  <si>
    <t>NC-020</t>
  </si>
  <si>
    <t>Co.278-2025-IDC/Obra-Ate-PCRIS</t>
  </si>
  <si>
    <t xml:space="preserve">SE CONSTATA MAL ACABADO SUPERFICIAL DE LOS CONTRAPISOS DEL SEGUNDO PISO </t>
  </si>
  <si>
    <t>Carta N°0371-2025-BRI-IDC-ATE</t>
  </si>
  <si>
    <t xml:space="preserve"> - EL ACABADO SUPERFICIAL NO COMPROMETIÓ LA ADHERENCIA NI LA CALIDAD DEL CONTRAPISO. 
 - NO SE PRESENTARON CAJONEOS NI FISURAS DESPUÉS DEL FRAGUADO. 
 - EL CONTRAPISO CUMPLE CON LOS REQUISITOS DE RESISTENCIA, PLANEIDAD Y RUGOSIDAD NECESARIOS PARA RECIBIR EL ENCHAPE. 
 - SE IMPLEMENTARON MEDIDAS CORRECTIVAS Y PREVENTIVAS PARA ASEGURAR LA MEJORA EN LOS SIGUIENTES VACIADOS. </t>
  </si>
  <si>
    <t>NC-019</t>
  </si>
  <si>
    <t>Co.285-2025-IDC/Obra-Ate-PCRIS</t>
  </si>
  <si>
    <t>SE CONSTATA QUE SE ESTÁ TARRAJEANDO CIELO RASO DEL PISO 5 MÓDULO III CON ESPESOR DE 2CM, QUE CUENTAN CON NC 14.</t>
  </si>
  <si>
    <t>TOTAL DE NC</t>
  </si>
  <si>
    <t>NC CERRADAS</t>
  </si>
  <si>
    <t>NC ABIERTAS</t>
  </si>
  <si>
    <t>NC EN PROCESO</t>
  </si>
  <si>
    <t>INDICADOR</t>
  </si>
  <si>
    <t>→</t>
  </si>
  <si>
    <t>INFORME MENSUAL</t>
  </si>
  <si>
    <t>CARTA ENVIADA POR LA SUPERVISIÓN</t>
  </si>
  <si>
    <t>RESPUESTA POR PARTE DE BRICONS A LA SUPERVISIÓN</t>
  </si>
  <si>
    <t>CONFORMIDAD AL LEVANTAMIENTO DE LA NC</t>
  </si>
  <si>
    <t>RESUMEN</t>
  </si>
  <si>
    <t>Co.372-2025-IDC/Obra-Ate-PCRIS</t>
  </si>
  <si>
    <t>Carta N°0392-2025-BRI-IDC-ATE</t>
  </si>
  <si>
    <t>SOLICITUD DE ATENCIÓN A APROBACIÓN DEL PROCEDIMIENTO PARA LA INSTALACIÓN DE MUROS CON EL SISTEMA DE CONSTRUCCIÓN EN SECO Y LEVANTAMIENTO DE LA NO CONFORMIDAD 16</t>
  </si>
  <si>
    <t>SE CONSTATA QUE EL ACERO DE REFUERZO DE LA VIGA DE CONFINAMIENTO HA SIDO CORTADA PORQUE PASARÁ LOS DUCTOS</t>
  </si>
  <si>
    <t>Carta N°422-2025-BRI-IDC-ATE</t>
  </si>
  <si>
    <t>LEVANTAMIENTO DE LA NO CONFORMIDAD N°08</t>
  </si>
  <si>
    <t>Carta N°0423-2025-BRI-IDC-ATE</t>
  </si>
  <si>
    <t>LEVANTAMIENTO DE LA NO CONFORMIDAD N°09</t>
  </si>
  <si>
    <t>Co.416-2025-IDC/Obra-Ate-PCRIS</t>
  </si>
  <si>
    <t>Co.417-2025-IDC/Obra-Ate-PCRIS</t>
  </si>
  <si>
    <t>Carta N°0434-2025-BRI-IDC-ATE</t>
  </si>
  <si>
    <t>LEVANTAMIENTO DE LA NO CONFORMIDAD N°10</t>
  </si>
  <si>
    <t>Co.431-2025-IDC/Obra-Ate-PCRIS</t>
  </si>
  <si>
    <t>SE CONSTATA QUE EL CONTRATISTA HA LEVANTADO EN SU TOTALIDAD LA NC 10</t>
  </si>
  <si>
    <t>NC-021</t>
  </si>
  <si>
    <t>Co.499-2025-IDC/Obra-Ate-PCRIS</t>
  </si>
  <si>
    <t>SE EVIDENCIÓ QUE EL CONTRAZÓCALO SANITARIO TIENE UNA ALTURA DE 0.08 MT, NO CUMPLIENDO CON LAS ESPECIFICACIOINES TÉCNICAS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</si>
</sst>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4"/>
      <color theme="1"/>
      <name val="Tahoma"/>
      <family val="2"/>
    </font>
    <font>
      <b/>
      <sz val="9"/>
      <color theme="1"/>
      <name val="Tahoma"/>
      <family val="2"/>
    </font>
    <font>
      <sz val="10"/>
      <name val="Arial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8F8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7" fillId="0" borderId="0"/>
  </cellStyleXfs>
  <cellXfs count="115">
    <xf numFmtId="0" fontId="0" fillId="0" borderId="0" xfId="0"/>
    <xf numFmtId="0" fontId="2" fillId="0" borderId="1" xfId="0" applyFont="1" applyBorder="1" applyAlignment="1">
      <alignment vertical="center"/>
    </xf>
    <xf numFmtId="0" fontId="2" fillId="2" borderId="0" xfId="2" applyFont="1" applyFill="1"/>
    <xf numFmtId="0" fontId="2" fillId="0" borderId="0" xfId="2" applyFont="1"/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2" applyFont="1" applyBorder="1" applyAlignment="1">
      <alignment horizontal="center"/>
    </xf>
    <xf numFmtId="0" fontId="2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2" fillId="2" borderId="10" xfId="3" applyFont="1" applyFill="1" applyBorder="1" applyAlignment="1">
      <alignment horizontal="center"/>
    </xf>
    <xf numFmtId="0" fontId="3" fillId="0" borderId="0" xfId="2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11" fillId="0" borderId="1" xfId="2" applyNumberFormat="1" applyFont="1" applyBorder="1" applyAlignment="1">
      <alignment horizontal="center" vertical="center"/>
    </xf>
    <xf numFmtId="0" fontId="9" fillId="5" borderId="11" xfId="2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 wrapText="1"/>
    </xf>
    <xf numFmtId="0" fontId="8" fillId="0" borderId="0" xfId="0" applyFont="1"/>
    <xf numFmtId="0" fontId="11" fillId="0" borderId="4" xfId="0" applyFont="1" applyBorder="1" applyAlignment="1">
      <alignment horizontal="left" vertical="center" wrapText="1"/>
    </xf>
    <xf numFmtId="0" fontId="11" fillId="0" borderId="12" xfId="2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14" fontId="11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14" fontId="0" fillId="0" borderId="0" xfId="0" applyNumberFormat="1"/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14" fontId="11" fillId="0" borderId="1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14" fontId="11" fillId="0" borderId="4" xfId="2" applyNumberFormat="1" applyFont="1" applyBorder="1" applyAlignment="1">
      <alignment horizontal="left" vertical="center" wrapText="1"/>
    </xf>
    <xf numFmtId="14" fontId="11" fillId="0" borderId="13" xfId="2" applyNumberFormat="1" applyFont="1" applyBorder="1" applyAlignment="1">
      <alignment horizontal="left" vertical="center" wrapText="1"/>
    </xf>
    <xf numFmtId="14" fontId="11" fillId="0" borderId="4" xfId="2" applyNumberFormat="1" applyFont="1" applyBorder="1" applyAlignment="1">
      <alignment horizontal="center" vertical="center" wrapText="1"/>
    </xf>
    <xf numFmtId="49" fontId="11" fillId="0" borderId="4" xfId="3" applyNumberFormat="1" applyFont="1" applyBorder="1" applyAlignment="1">
      <alignment horizontal="left" vertical="center"/>
    </xf>
    <xf numFmtId="14" fontId="11" fillId="0" borderId="15" xfId="2" applyNumberFormat="1" applyFont="1" applyBorder="1" applyAlignment="1">
      <alignment horizontal="center" vertical="center"/>
    </xf>
    <xf numFmtId="14" fontId="11" fillId="0" borderId="13" xfId="2" applyNumberFormat="1" applyFont="1" applyBorder="1" applyAlignment="1">
      <alignment horizontal="center" vertical="center" wrapText="1"/>
    </xf>
    <xf numFmtId="49" fontId="11" fillId="0" borderId="4" xfId="3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1" fillId="0" borderId="1" xfId="0" applyFont="1" applyBorder="1" applyAlignment="1">
      <alignment vertical="center" wrapText="1"/>
    </xf>
    <xf numFmtId="0" fontId="11" fillId="0" borderId="4" xfId="0" applyFont="1" applyBorder="1" applyAlignment="1">
      <alignment horizontal="left" vertical="center"/>
    </xf>
    <xf numFmtId="0" fontId="11" fillId="0" borderId="15" xfId="3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14" fontId="11" fillId="0" borderId="14" xfId="2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4" xfId="3" applyFont="1" applyBorder="1" applyAlignment="1">
      <alignment horizontal="left" vertical="center" wrapText="1"/>
    </xf>
    <xf numFmtId="0" fontId="11" fillId="0" borderId="14" xfId="2" applyFont="1" applyBorder="1" applyAlignment="1">
      <alignment horizontal="center" vertical="center"/>
    </xf>
    <xf numFmtId="0" fontId="11" fillId="0" borderId="13" xfId="3" applyFont="1" applyBorder="1" applyAlignment="1">
      <alignment horizontal="left" vertical="center" wrapText="1"/>
    </xf>
    <xf numFmtId="0" fontId="11" fillId="0" borderId="13" xfId="3" applyFont="1" applyBorder="1" applyAlignment="1">
      <alignment horizontal="center" vertical="center" wrapText="1"/>
    </xf>
    <xf numFmtId="49" fontId="11" fillId="0" borderId="13" xfId="3" applyNumberFormat="1" applyFont="1" applyBorder="1" applyAlignment="1">
      <alignment horizontal="left" vertical="center" wrapText="1"/>
    </xf>
    <xf numFmtId="2" fontId="11" fillId="0" borderId="13" xfId="2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2" fillId="2" borderId="11" xfId="2" applyFont="1" applyFill="1" applyBorder="1" applyAlignment="1">
      <alignment vertical="center"/>
    </xf>
    <xf numFmtId="0" fontId="11" fillId="6" borderId="11" xfId="2" applyFont="1" applyFill="1" applyBorder="1" applyAlignment="1">
      <alignment horizontal="center" vertical="center"/>
    </xf>
    <xf numFmtId="0" fontId="11" fillId="3" borderId="11" xfId="2" applyFont="1" applyFill="1" applyBorder="1" applyAlignment="1">
      <alignment horizontal="center" vertical="center"/>
    </xf>
    <xf numFmtId="0" fontId="11" fillId="4" borderId="11" xfId="2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11" fillId="6" borderId="11" xfId="0" applyFont="1" applyFill="1" applyBorder="1" applyAlignment="1">
      <alignment vertical="center"/>
    </xf>
    <xf numFmtId="0" fontId="11" fillId="4" borderId="11" xfId="0" applyFont="1" applyFill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9" fontId="10" fillId="0" borderId="17" xfId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4" fontId="11" fillId="0" borderId="18" xfId="2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/>
    </xf>
    <xf numFmtId="0" fontId="11" fillId="0" borderId="18" xfId="3" applyFont="1" applyBorder="1" applyAlignment="1">
      <alignment horizontal="left" vertical="center" wrapText="1"/>
    </xf>
    <xf numFmtId="0" fontId="11" fillId="0" borderId="19" xfId="0" applyFont="1" applyBorder="1" applyAlignment="1">
      <alignment horizontal="center" vertical="center"/>
    </xf>
    <xf numFmtId="14" fontId="11" fillId="0" borderId="19" xfId="2" applyNumberFormat="1" applyFont="1" applyBorder="1" applyAlignment="1">
      <alignment horizontal="center" vertical="center" wrapText="1"/>
    </xf>
    <xf numFmtId="0" fontId="11" fillId="0" borderId="19" xfId="3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/>
    </xf>
    <xf numFmtId="49" fontId="11" fillId="0" borderId="19" xfId="3" applyNumberFormat="1" applyFont="1" applyBorder="1" applyAlignment="1">
      <alignment horizontal="left" vertical="center" wrapText="1"/>
    </xf>
    <xf numFmtId="14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" fillId="0" borderId="1" xfId="2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2" fillId="0" borderId="7" xfId="2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">
    <cellStyle name="Normal" xfId="0" builtinId="0"/>
    <cellStyle name="Normal 2" xfId="3"/>
    <cellStyle name="Normal 4" xfId="2"/>
    <cellStyle name="Porcentaje" xfId="1" builtinId="5"/>
  </cellStyles>
  <dxfs count="8">
    <dxf>
      <fill>
        <patternFill>
          <bgColor rgb="FFFF8F8F"/>
        </patternFill>
      </fill>
    </dxf>
    <dxf>
      <fill>
        <patternFill>
          <bgColor rgb="FFFFF2CC"/>
        </patternFill>
      </fill>
    </dxf>
    <dxf>
      <fill>
        <patternFill>
          <bgColor rgb="FFFF8F8F"/>
        </patternFill>
      </fill>
    </dxf>
    <dxf>
      <fill>
        <patternFill>
          <bgColor rgb="FFFFF2CC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rgb="FFFFF2CC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2CC"/>
      <color rgb="FFFF8F8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7"/>
  <sheetViews>
    <sheetView tabSelected="1" view="pageBreakPreview" zoomScale="70" zoomScaleNormal="70" zoomScaleSheetLayoutView="70" workbookViewId="0">
      <selection activeCell="H1" sqref="H1:H3"/>
    </sheetView>
  </sheetViews>
  <sheetFormatPr baseColWidth="10" defaultRowHeight="14.25" x14ac:dyDescent="0.2"/>
  <cols>
    <col min="1" max="1" width="10.75" customWidth="1"/>
    <col min="2" max="2" width="21.25" customWidth="1"/>
    <col min="3" max="3" width="30.75" customWidth="1"/>
    <col min="4" max="4" width="40.75" customWidth="1"/>
    <col min="5" max="5" width="30.75" customWidth="1"/>
    <col min="6" max="6" width="40.75" style="43" customWidth="1"/>
    <col min="7" max="7" width="55.875" customWidth="1"/>
    <col min="8" max="8" width="33.625" bestFit="1" customWidth="1"/>
  </cols>
  <sheetData>
    <row r="1" spans="1:10" s="3" customFormat="1" ht="25.15" customHeight="1" x14ac:dyDescent="0.15">
      <c r="A1" s="100"/>
      <c r="B1" s="100"/>
      <c r="C1" s="103" t="s">
        <v>0</v>
      </c>
      <c r="D1" s="104"/>
      <c r="E1" s="104"/>
      <c r="F1" s="104"/>
      <c r="G1" s="104"/>
      <c r="H1" s="1"/>
      <c r="I1" s="2"/>
      <c r="J1" s="2"/>
    </row>
    <row r="2" spans="1:10" s="3" customFormat="1" ht="25.15" customHeight="1" x14ac:dyDescent="0.15">
      <c r="A2" s="101"/>
      <c r="B2" s="101"/>
      <c r="C2" s="105" t="s">
        <v>1</v>
      </c>
      <c r="D2" s="106"/>
      <c r="E2" s="106"/>
      <c r="F2" s="106"/>
      <c r="G2" s="106"/>
      <c r="H2" s="4"/>
      <c r="I2" s="2"/>
      <c r="J2" s="2"/>
    </row>
    <row r="3" spans="1:10" s="3" customFormat="1" ht="25.15" customHeight="1" x14ac:dyDescent="0.15">
      <c r="A3" s="102"/>
      <c r="B3" s="102"/>
      <c r="C3" s="107" t="s">
        <v>2</v>
      </c>
      <c r="D3" s="108"/>
      <c r="E3" s="108"/>
      <c r="F3" s="108"/>
      <c r="G3" s="108"/>
      <c r="H3" s="5"/>
      <c r="I3" s="2"/>
      <c r="J3" s="2"/>
    </row>
    <row r="4" spans="1:10" s="3" customFormat="1" ht="9.9499999999999993" customHeight="1" x14ac:dyDescent="0.15">
      <c r="A4" s="6"/>
      <c r="B4" s="7"/>
      <c r="C4" s="7"/>
      <c r="D4" s="7"/>
      <c r="E4" s="8"/>
      <c r="F4" s="9"/>
      <c r="G4" s="8"/>
      <c r="H4" s="10"/>
      <c r="I4" s="2"/>
      <c r="J4" s="2"/>
    </row>
    <row r="5" spans="1:10" s="14" customFormat="1" ht="25.15" customHeight="1" x14ac:dyDescent="0.2">
      <c r="A5" s="11" t="s">
        <v>3</v>
      </c>
      <c r="B5" s="12"/>
      <c r="C5" s="13" t="s">
        <v>4</v>
      </c>
      <c r="F5" s="12"/>
    </row>
    <row r="6" spans="1:10" s="14" customFormat="1" ht="25.15" customHeight="1" x14ac:dyDescent="0.2">
      <c r="A6" s="11" t="s">
        <v>5</v>
      </c>
      <c r="B6" s="12"/>
      <c r="C6" s="13" t="s">
        <v>6</v>
      </c>
      <c r="F6" s="12"/>
    </row>
    <row r="7" spans="1:10" s="14" customFormat="1" ht="25.15" customHeight="1" x14ac:dyDescent="0.2">
      <c r="A7" s="11" t="s">
        <v>7</v>
      </c>
      <c r="B7" s="12"/>
      <c r="C7" s="13" t="s">
        <v>8</v>
      </c>
      <c r="F7" s="12"/>
    </row>
    <row r="9" spans="1:10" ht="49.9" customHeight="1" x14ac:dyDescent="0.2">
      <c r="A9" s="16" t="s">
        <v>9</v>
      </c>
      <c r="B9" s="16" t="s">
        <v>21</v>
      </c>
      <c r="C9" s="16" t="s">
        <v>25</v>
      </c>
      <c r="D9" s="16" t="s">
        <v>33</v>
      </c>
      <c r="E9" s="16" t="s">
        <v>22</v>
      </c>
      <c r="F9" s="16" t="s">
        <v>31</v>
      </c>
      <c r="G9" s="16" t="s">
        <v>23</v>
      </c>
      <c r="H9" s="16" t="s">
        <v>24</v>
      </c>
    </row>
    <row r="10" spans="1:10" ht="70.150000000000006" customHeight="1" x14ac:dyDescent="0.2">
      <c r="A10" s="111">
        <v>1</v>
      </c>
      <c r="B10" s="110" t="s">
        <v>11</v>
      </c>
      <c r="C10" s="23">
        <v>45521</v>
      </c>
      <c r="D10" s="15" t="s">
        <v>10</v>
      </c>
      <c r="E10" s="24" t="s">
        <v>5</v>
      </c>
      <c r="F10" s="57" t="s">
        <v>32</v>
      </c>
      <c r="G10" s="44" t="s">
        <v>12</v>
      </c>
      <c r="H10" s="109" t="s">
        <v>17</v>
      </c>
    </row>
    <row r="11" spans="1:10" ht="70.150000000000006" customHeight="1" x14ac:dyDescent="0.2">
      <c r="A11" s="112"/>
      <c r="B11" s="93"/>
      <c r="C11" s="18">
        <v>45528</v>
      </c>
      <c r="D11" s="17" t="s">
        <v>13</v>
      </c>
      <c r="E11" s="17" t="s">
        <v>34</v>
      </c>
      <c r="F11" s="45" t="s">
        <v>35</v>
      </c>
      <c r="G11" s="21" t="s">
        <v>14</v>
      </c>
      <c r="H11" s="94"/>
    </row>
    <row r="12" spans="1:10" ht="70.150000000000006" customHeight="1" thickBot="1" x14ac:dyDescent="0.25">
      <c r="A12" s="113"/>
      <c r="B12" s="89"/>
      <c r="C12" s="26">
        <v>45531</v>
      </c>
      <c r="D12" s="25" t="s">
        <v>36</v>
      </c>
      <c r="E12" s="25" t="s">
        <v>5</v>
      </c>
      <c r="F12" s="58" t="s">
        <v>29</v>
      </c>
      <c r="G12" s="27" t="s">
        <v>37</v>
      </c>
      <c r="H12" s="92"/>
    </row>
    <row r="13" spans="1:10" ht="70.150000000000006" customHeight="1" thickTop="1" x14ac:dyDescent="0.2">
      <c r="A13" s="97">
        <v>2</v>
      </c>
      <c r="B13" s="87" t="s">
        <v>38</v>
      </c>
      <c r="C13" s="34">
        <v>45540</v>
      </c>
      <c r="D13" s="33" t="s">
        <v>39</v>
      </c>
      <c r="E13" s="33" t="s">
        <v>5</v>
      </c>
      <c r="F13" s="59" t="s">
        <v>32</v>
      </c>
      <c r="G13" s="35" t="s">
        <v>40</v>
      </c>
      <c r="H13" s="90" t="s">
        <v>17</v>
      </c>
    </row>
    <row r="14" spans="1:10" ht="70.150000000000006" customHeight="1" x14ac:dyDescent="0.2">
      <c r="A14" s="98"/>
      <c r="B14" s="93"/>
      <c r="C14" s="18">
        <v>45559</v>
      </c>
      <c r="D14" s="17" t="s">
        <v>41</v>
      </c>
      <c r="E14" s="17" t="s">
        <v>34</v>
      </c>
      <c r="F14" s="45" t="s">
        <v>35</v>
      </c>
      <c r="G14" s="21" t="s">
        <v>42</v>
      </c>
      <c r="H14" s="94"/>
    </row>
    <row r="15" spans="1:10" s="31" customFormat="1" ht="70.150000000000006" customHeight="1" x14ac:dyDescent="0.2">
      <c r="A15" s="98"/>
      <c r="B15" s="93"/>
      <c r="C15" s="18">
        <v>45569</v>
      </c>
      <c r="D15" s="17" t="s">
        <v>43</v>
      </c>
      <c r="E15" s="17" t="s">
        <v>5</v>
      </c>
      <c r="F15" s="45" t="s">
        <v>28</v>
      </c>
      <c r="G15" s="21" t="s">
        <v>44</v>
      </c>
      <c r="H15" s="94"/>
    </row>
    <row r="16" spans="1:10" s="31" customFormat="1" ht="70.150000000000006" customHeight="1" thickBot="1" x14ac:dyDescent="0.25">
      <c r="A16" s="99"/>
      <c r="B16" s="89"/>
      <c r="C16" s="26">
        <v>45572</v>
      </c>
      <c r="D16" s="25" t="s">
        <v>45</v>
      </c>
      <c r="E16" s="25" t="s">
        <v>34</v>
      </c>
      <c r="F16" s="58" t="s">
        <v>29</v>
      </c>
      <c r="G16" s="27" t="s">
        <v>46</v>
      </c>
      <c r="H16" s="92"/>
    </row>
    <row r="17" spans="1:8" s="31" customFormat="1" ht="70.150000000000006" customHeight="1" thickTop="1" x14ac:dyDescent="0.2">
      <c r="A17" s="87">
        <v>3</v>
      </c>
      <c r="B17" s="87" t="s">
        <v>47</v>
      </c>
      <c r="C17" s="34">
        <v>45547</v>
      </c>
      <c r="D17" s="33" t="s">
        <v>48</v>
      </c>
      <c r="E17" s="33" t="s">
        <v>5</v>
      </c>
      <c r="F17" s="59" t="s">
        <v>32</v>
      </c>
      <c r="G17" s="35" t="s">
        <v>49</v>
      </c>
      <c r="H17" s="90" t="s">
        <v>17</v>
      </c>
    </row>
    <row r="18" spans="1:8" s="31" customFormat="1" ht="70.150000000000006" customHeight="1" x14ac:dyDescent="0.2">
      <c r="A18" s="93"/>
      <c r="B18" s="93"/>
      <c r="C18" s="18">
        <v>45566</v>
      </c>
      <c r="D18" s="17" t="s">
        <v>50</v>
      </c>
      <c r="E18" s="17" t="s">
        <v>34</v>
      </c>
      <c r="F18" s="45" t="s">
        <v>35</v>
      </c>
      <c r="G18" s="21" t="s">
        <v>51</v>
      </c>
      <c r="H18" s="94"/>
    </row>
    <row r="19" spans="1:8" s="31" customFormat="1" ht="70.150000000000006" customHeight="1" x14ac:dyDescent="0.2">
      <c r="A19" s="93"/>
      <c r="B19" s="93"/>
      <c r="C19" s="18">
        <v>45569</v>
      </c>
      <c r="D19" s="17" t="s">
        <v>52</v>
      </c>
      <c r="E19" s="17" t="s">
        <v>5</v>
      </c>
      <c r="F19" s="45" t="s">
        <v>28</v>
      </c>
      <c r="G19" s="21" t="s">
        <v>53</v>
      </c>
      <c r="H19" s="94"/>
    </row>
    <row r="20" spans="1:8" s="31" customFormat="1" ht="70.150000000000006" customHeight="1" thickBot="1" x14ac:dyDescent="0.25">
      <c r="A20" s="89"/>
      <c r="B20" s="89"/>
      <c r="C20" s="26">
        <v>45575</v>
      </c>
      <c r="D20" s="25" t="s">
        <v>54</v>
      </c>
      <c r="E20" s="25" t="s">
        <v>34</v>
      </c>
      <c r="F20" s="58" t="s">
        <v>29</v>
      </c>
      <c r="G20" s="27" t="s">
        <v>55</v>
      </c>
      <c r="H20" s="92"/>
    </row>
    <row r="21" spans="1:8" s="31" customFormat="1" ht="70.150000000000006" customHeight="1" thickTop="1" x14ac:dyDescent="0.2">
      <c r="A21" s="87">
        <v>4</v>
      </c>
      <c r="B21" s="87" t="s">
        <v>57</v>
      </c>
      <c r="C21" s="34">
        <v>45583</v>
      </c>
      <c r="D21" s="33" t="s">
        <v>56</v>
      </c>
      <c r="E21" s="33" t="s">
        <v>5</v>
      </c>
      <c r="F21" s="59" t="s">
        <v>32</v>
      </c>
      <c r="G21" s="35" t="s">
        <v>58</v>
      </c>
      <c r="H21" s="90" t="s">
        <v>17</v>
      </c>
    </row>
    <row r="22" spans="1:8" s="31" customFormat="1" ht="70.150000000000006" customHeight="1" x14ac:dyDescent="0.2">
      <c r="A22" s="93"/>
      <c r="B22" s="93"/>
      <c r="C22" s="18">
        <v>45609</v>
      </c>
      <c r="D22" s="17" t="s">
        <v>59</v>
      </c>
      <c r="E22" s="17" t="s">
        <v>34</v>
      </c>
      <c r="F22" s="45" t="s">
        <v>35</v>
      </c>
      <c r="G22" s="21" t="s">
        <v>60</v>
      </c>
      <c r="H22" s="94"/>
    </row>
    <row r="23" spans="1:8" s="31" customFormat="1" ht="70.150000000000006" customHeight="1" thickBot="1" x14ac:dyDescent="0.25">
      <c r="A23" s="89"/>
      <c r="B23" s="89"/>
      <c r="C23" s="26">
        <v>45614</v>
      </c>
      <c r="D23" s="25" t="s">
        <v>61</v>
      </c>
      <c r="E23" s="25" t="s">
        <v>5</v>
      </c>
      <c r="F23" s="58" t="s">
        <v>29</v>
      </c>
      <c r="G23" s="27" t="s">
        <v>62</v>
      </c>
      <c r="H23" s="92"/>
    </row>
    <row r="24" spans="1:8" s="31" customFormat="1" ht="120" customHeight="1" thickTop="1" x14ac:dyDescent="0.2">
      <c r="A24" s="87">
        <v>5</v>
      </c>
      <c r="B24" s="87" t="s">
        <v>63</v>
      </c>
      <c r="C24" s="34">
        <v>45603</v>
      </c>
      <c r="D24" s="33" t="s">
        <v>64</v>
      </c>
      <c r="E24" s="33" t="s">
        <v>5</v>
      </c>
      <c r="F24" s="59" t="s">
        <v>32</v>
      </c>
      <c r="G24" s="35" t="s">
        <v>65</v>
      </c>
      <c r="H24" s="90" t="s">
        <v>17</v>
      </c>
    </row>
    <row r="25" spans="1:8" s="31" customFormat="1" ht="70.150000000000006" customHeight="1" x14ac:dyDescent="0.2">
      <c r="A25" s="93"/>
      <c r="B25" s="93"/>
      <c r="C25" s="18">
        <v>45615</v>
      </c>
      <c r="D25" s="17" t="s">
        <v>66</v>
      </c>
      <c r="E25" s="17" t="s">
        <v>34</v>
      </c>
      <c r="F25" s="45" t="s">
        <v>35</v>
      </c>
      <c r="G25" s="45" t="s">
        <v>67</v>
      </c>
      <c r="H25" s="94"/>
    </row>
    <row r="26" spans="1:8" s="31" customFormat="1" ht="70.150000000000006" customHeight="1" thickBot="1" x14ac:dyDescent="0.25">
      <c r="A26" s="89"/>
      <c r="B26" s="89"/>
      <c r="C26" s="26">
        <v>45618</v>
      </c>
      <c r="D26" s="25" t="s">
        <v>68</v>
      </c>
      <c r="E26" s="25" t="s">
        <v>5</v>
      </c>
      <c r="F26" s="58" t="s">
        <v>29</v>
      </c>
      <c r="G26" s="27" t="s">
        <v>62</v>
      </c>
      <c r="H26" s="92"/>
    </row>
    <row r="27" spans="1:8" s="31" customFormat="1" ht="70.150000000000006" customHeight="1" thickTop="1" x14ac:dyDescent="0.2">
      <c r="A27" s="87">
        <v>6</v>
      </c>
      <c r="B27" s="87" t="s">
        <v>74</v>
      </c>
      <c r="C27" s="34">
        <v>45652</v>
      </c>
      <c r="D27" s="33" t="s">
        <v>69</v>
      </c>
      <c r="E27" s="33" t="s">
        <v>5</v>
      </c>
      <c r="F27" s="59" t="s">
        <v>32</v>
      </c>
      <c r="G27" s="35" t="s">
        <v>70</v>
      </c>
      <c r="H27" s="90" t="s">
        <v>17</v>
      </c>
    </row>
    <row r="28" spans="1:8" s="31" customFormat="1" ht="70.150000000000006" customHeight="1" x14ac:dyDescent="0.2">
      <c r="A28" s="93"/>
      <c r="B28" s="93"/>
      <c r="C28" s="18">
        <v>45705</v>
      </c>
      <c r="D28" s="17" t="s">
        <v>71</v>
      </c>
      <c r="E28" s="17" t="s">
        <v>34</v>
      </c>
      <c r="F28" s="45" t="s">
        <v>35</v>
      </c>
      <c r="G28" s="21" t="s">
        <v>72</v>
      </c>
      <c r="H28" s="94"/>
    </row>
    <row r="29" spans="1:8" s="31" customFormat="1" ht="70.150000000000006" customHeight="1" thickBot="1" x14ac:dyDescent="0.25">
      <c r="A29" s="89"/>
      <c r="B29" s="89"/>
      <c r="C29" s="26">
        <v>45709</v>
      </c>
      <c r="D29" s="25" t="s">
        <v>73</v>
      </c>
      <c r="E29" s="25" t="s">
        <v>5</v>
      </c>
      <c r="F29" s="58" t="s">
        <v>29</v>
      </c>
      <c r="G29" s="37" t="s">
        <v>62</v>
      </c>
      <c r="H29" s="92"/>
    </row>
    <row r="30" spans="1:8" s="31" customFormat="1" ht="70.150000000000006" customHeight="1" thickTop="1" x14ac:dyDescent="0.2">
      <c r="A30" s="87">
        <v>7</v>
      </c>
      <c r="B30" s="87" t="s">
        <v>80</v>
      </c>
      <c r="C30" s="40">
        <v>45665</v>
      </c>
      <c r="D30" s="33" t="s">
        <v>75</v>
      </c>
      <c r="E30" s="33" t="s">
        <v>5</v>
      </c>
      <c r="F30" s="59" t="s">
        <v>32</v>
      </c>
      <c r="G30" s="35" t="s">
        <v>76</v>
      </c>
      <c r="H30" s="90" t="s">
        <v>17</v>
      </c>
    </row>
    <row r="31" spans="1:8" s="31" customFormat="1" ht="70.150000000000006" customHeight="1" x14ac:dyDescent="0.2">
      <c r="A31" s="93"/>
      <c r="B31" s="93"/>
      <c r="C31" s="38">
        <v>45722</v>
      </c>
      <c r="D31" s="17" t="s">
        <v>77</v>
      </c>
      <c r="E31" s="17" t="s">
        <v>34</v>
      </c>
      <c r="F31" s="45" t="s">
        <v>35</v>
      </c>
      <c r="G31" s="39" t="s">
        <v>78</v>
      </c>
      <c r="H31" s="94"/>
    </row>
    <row r="32" spans="1:8" s="31" customFormat="1" ht="70.150000000000006" customHeight="1" thickBot="1" x14ac:dyDescent="0.25">
      <c r="A32" s="89"/>
      <c r="B32" s="89"/>
      <c r="C32" s="41">
        <v>45726</v>
      </c>
      <c r="D32" s="25" t="s">
        <v>79</v>
      </c>
      <c r="E32" s="25" t="s">
        <v>5</v>
      </c>
      <c r="F32" s="58" t="s">
        <v>29</v>
      </c>
      <c r="G32" s="37" t="s">
        <v>62</v>
      </c>
      <c r="H32" s="92"/>
    </row>
    <row r="33" spans="1:8" s="31" customFormat="1" ht="70.150000000000006" customHeight="1" thickTop="1" x14ac:dyDescent="0.2">
      <c r="A33" s="87">
        <v>8</v>
      </c>
      <c r="B33" s="87" t="s">
        <v>81</v>
      </c>
      <c r="C33" s="34">
        <v>45675</v>
      </c>
      <c r="D33" s="33" t="s">
        <v>82</v>
      </c>
      <c r="E33" s="33" t="s">
        <v>5</v>
      </c>
      <c r="F33" s="59" t="s">
        <v>32</v>
      </c>
      <c r="G33" s="35" t="s">
        <v>83</v>
      </c>
      <c r="H33" s="90" t="s">
        <v>17</v>
      </c>
    </row>
    <row r="34" spans="1:8" s="31" customFormat="1" ht="70.150000000000006" customHeight="1" x14ac:dyDescent="0.2">
      <c r="A34" s="93"/>
      <c r="B34" s="93"/>
      <c r="C34" s="38">
        <v>45722</v>
      </c>
      <c r="D34" s="19" t="s">
        <v>84</v>
      </c>
      <c r="E34" s="17" t="s">
        <v>34</v>
      </c>
      <c r="F34" s="45" t="s">
        <v>35</v>
      </c>
      <c r="G34" s="42" t="s">
        <v>85</v>
      </c>
      <c r="H34" s="94"/>
    </row>
    <row r="35" spans="1:8" s="31" customFormat="1" ht="70.150000000000006" customHeight="1" x14ac:dyDescent="0.2">
      <c r="A35" s="93"/>
      <c r="B35" s="93"/>
      <c r="C35" s="38">
        <v>45726</v>
      </c>
      <c r="D35" s="19" t="s">
        <v>86</v>
      </c>
      <c r="E35" s="17" t="s">
        <v>5</v>
      </c>
      <c r="F35" s="45" t="s">
        <v>28</v>
      </c>
      <c r="G35" s="42" t="s">
        <v>87</v>
      </c>
      <c r="H35" s="94"/>
    </row>
    <row r="36" spans="1:8" s="31" customFormat="1" ht="70.150000000000006" customHeight="1" x14ac:dyDescent="0.2">
      <c r="A36" s="93"/>
      <c r="B36" s="93"/>
      <c r="C36" s="38">
        <v>45915</v>
      </c>
      <c r="D36" s="19" t="s">
        <v>164</v>
      </c>
      <c r="E36" s="17" t="s">
        <v>34</v>
      </c>
      <c r="F36" s="45" t="s">
        <v>35</v>
      </c>
      <c r="G36" s="42" t="s">
        <v>165</v>
      </c>
      <c r="H36" s="94"/>
    </row>
    <row r="37" spans="1:8" s="31" customFormat="1" ht="70.150000000000006" customHeight="1" thickBot="1" x14ac:dyDescent="0.25">
      <c r="A37" s="89"/>
      <c r="B37" s="89"/>
      <c r="C37" s="41">
        <v>45915</v>
      </c>
      <c r="D37" s="54" t="s">
        <v>168</v>
      </c>
      <c r="E37" s="25" t="s">
        <v>5</v>
      </c>
      <c r="F37" s="58" t="s">
        <v>29</v>
      </c>
      <c r="G37" s="37" t="s">
        <v>62</v>
      </c>
      <c r="H37" s="92"/>
    </row>
    <row r="38" spans="1:8" s="31" customFormat="1" ht="70.150000000000006" customHeight="1" thickTop="1" x14ac:dyDescent="0.2">
      <c r="A38" s="87">
        <v>9</v>
      </c>
      <c r="B38" s="87" t="s">
        <v>88</v>
      </c>
      <c r="C38" s="34">
        <v>45719</v>
      </c>
      <c r="D38" s="33" t="s">
        <v>89</v>
      </c>
      <c r="E38" s="33" t="s">
        <v>5</v>
      </c>
      <c r="F38" s="59" t="s">
        <v>32</v>
      </c>
      <c r="G38" s="35" t="s">
        <v>90</v>
      </c>
      <c r="H38" s="90" t="s">
        <v>17</v>
      </c>
    </row>
    <row r="39" spans="1:8" s="31" customFormat="1" ht="70.150000000000006" customHeight="1" x14ac:dyDescent="0.2">
      <c r="A39" s="93"/>
      <c r="B39" s="93"/>
      <c r="C39" s="38">
        <v>45804</v>
      </c>
      <c r="D39" s="19" t="s">
        <v>91</v>
      </c>
      <c r="E39" s="17" t="s">
        <v>34</v>
      </c>
      <c r="F39" s="45" t="s">
        <v>35</v>
      </c>
      <c r="G39" s="42" t="s">
        <v>92</v>
      </c>
      <c r="H39" s="94"/>
    </row>
    <row r="40" spans="1:8" s="31" customFormat="1" ht="70.150000000000006" customHeight="1" x14ac:dyDescent="0.2">
      <c r="A40" s="96"/>
      <c r="B40" s="96"/>
      <c r="C40" s="81">
        <v>45807</v>
      </c>
      <c r="D40" s="82" t="s">
        <v>93</v>
      </c>
      <c r="E40" s="80" t="s">
        <v>5</v>
      </c>
      <c r="F40" s="83" t="s">
        <v>28</v>
      </c>
      <c r="G40" s="84" t="s">
        <v>94</v>
      </c>
      <c r="H40" s="95"/>
    </row>
    <row r="41" spans="1:8" s="31" customFormat="1" ht="70.150000000000006" customHeight="1" x14ac:dyDescent="0.2">
      <c r="A41" s="96"/>
      <c r="B41" s="96"/>
      <c r="C41" s="81">
        <v>45915</v>
      </c>
      <c r="D41" s="82" t="s">
        <v>166</v>
      </c>
      <c r="E41" s="80" t="s">
        <v>34</v>
      </c>
      <c r="F41" s="83" t="s">
        <v>35</v>
      </c>
      <c r="G41" s="84" t="s">
        <v>167</v>
      </c>
      <c r="H41" s="95"/>
    </row>
    <row r="42" spans="1:8" s="31" customFormat="1" ht="70.150000000000006" customHeight="1" thickBot="1" x14ac:dyDescent="0.25">
      <c r="A42" s="89"/>
      <c r="B42" s="89"/>
      <c r="C42" s="41">
        <v>45916</v>
      </c>
      <c r="D42" s="25" t="s">
        <v>169</v>
      </c>
      <c r="E42" s="25" t="s">
        <v>5</v>
      </c>
      <c r="F42" s="58" t="s">
        <v>29</v>
      </c>
      <c r="G42" s="37" t="s">
        <v>62</v>
      </c>
      <c r="H42" s="92"/>
    </row>
    <row r="43" spans="1:8" s="31" customFormat="1" ht="70.150000000000006" customHeight="1" thickTop="1" x14ac:dyDescent="0.2">
      <c r="A43" s="87">
        <v>10</v>
      </c>
      <c r="B43" s="87" t="s">
        <v>95</v>
      </c>
      <c r="C43" s="34">
        <v>45723</v>
      </c>
      <c r="D43" s="33" t="s">
        <v>96</v>
      </c>
      <c r="E43" s="33" t="s">
        <v>5</v>
      </c>
      <c r="F43" s="59" t="s">
        <v>32</v>
      </c>
      <c r="G43" s="46" t="s">
        <v>97</v>
      </c>
      <c r="H43" s="90" t="s">
        <v>17</v>
      </c>
    </row>
    <row r="44" spans="1:8" s="31" customFormat="1" ht="70.150000000000006" customHeight="1" x14ac:dyDescent="0.2">
      <c r="A44" s="93"/>
      <c r="B44" s="93"/>
      <c r="C44" s="38">
        <v>45804</v>
      </c>
      <c r="D44" s="19" t="s">
        <v>98</v>
      </c>
      <c r="E44" s="17" t="s">
        <v>34</v>
      </c>
      <c r="F44" s="45" t="s">
        <v>35</v>
      </c>
      <c r="G44" s="42" t="s">
        <v>99</v>
      </c>
      <c r="H44" s="94"/>
    </row>
    <row r="45" spans="1:8" s="31" customFormat="1" ht="70.150000000000006" customHeight="1" x14ac:dyDescent="0.2">
      <c r="A45" s="96"/>
      <c r="B45" s="96"/>
      <c r="C45" s="81">
        <v>45806</v>
      </c>
      <c r="D45" s="82" t="s">
        <v>100</v>
      </c>
      <c r="E45" s="80" t="s">
        <v>5</v>
      </c>
      <c r="F45" s="83" t="s">
        <v>28</v>
      </c>
      <c r="G45" s="84" t="s">
        <v>101</v>
      </c>
      <c r="H45" s="95"/>
    </row>
    <row r="46" spans="1:8" s="31" customFormat="1" ht="70.150000000000006" customHeight="1" x14ac:dyDescent="0.2">
      <c r="A46" s="96"/>
      <c r="B46" s="96"/>
      <c r="C46" s="81">
        <v>45923</v>
      </c>
      <c r="D46" s="19" t="s">
        <v>170</v>
      </c>
      <c r="E46" s="80" t="s">
        <v>34</v>
      </c>
      <c r="F46" s="83" t="s">
        <v>35</v>
      </c>
      <c r="G46" s="84" t="s">
        <v>171</v>
      </c>
      <c r="H46" s="95"/>
    </row>
    <row r="47" spans="1:8" s="31" customFormat="1" ht="70.150000000000006" customHeight="1" thickBot="1" x14ac:dyDescent="0.25">
      <c r="A47" s="89"/>
      <c r="B47" s="89"/>
      <c r="C47" s="41">
        <v>45924</v>
      </c>
      <c r="D47" s="25" t="s">
        <v>172</v>
      </c>
      <c r="E47" s="25" t="s">
        <v>5</v>
      </c>
      <c r="F47" s="58" t="s">
        <v>29</v>
      </c>
      <c r="G47" s="37" t="s">
        <v>173</v>
      </c>
      <c r="H47" s="92"/>
    </row>
    <row r="48" spans="1:8" s="31" customFormat="1" ht="70.150000000000006" customHeight="1" thickTop="1" x14ac:dyDescent="0.2">
      <c r="A48" s="87">
        <v>11</v>
      </c>
      <c r="B48" s="87" t="s">
        <v>103</v>
      </c>
      <c r="C48" s="40">
        <v>45742</v>
      </c>
      <c r="D48" s="47" t="s">
        <v>104</v>
      </c>
      <c r="E48" s="33" t="s">
        <v>5</v>
      </c>
      <c r="F48" s="59" t="s">
        <v>32</v>
      </c>
      <c r="G48" s="46" t="s">
        <v>105</v>
      </c>
      <c r="H48" s="90" t="s">
        <v>17</v>
      </c>
    </row>
    <row r="49" spans="1:8" s="31" customFormat="1" ht="70.150000000000006" customHeight="1" x14ac:dyDescent="0.2">
      <c r="A49" s="93"/>
      <c r="B49" s="93"/>
      <c r="C49" s="38">
        <v>45805</v>
      </c>
      <c r="D49" s="19" t="s">
        <v>106</v>
      </c>
      <c r="E49" s="17" t="s">
        <v>34</v>
      </c>
      <c r="F49" s="45" t="s">
        <v>35</v>
      </c>
      <c r="G49" s="42" t="s">
        <v>107</v>
      </c>
      <c r="H49" s="94"/>
    </row>
    <row r="50" spans="1:8" s="31" customFormat="1" ht="70.150000000000006" customHeight="1" thickBot="1" x14ac:dyDescent="0.25">
      <c r="A50" s="89"/>
      <c r="B50" s="89"/>
      <c r="C50" s="41">
        <v>45807</v>
      </c>
      <c r="D50" s="25" t="s">
        <v>108</v>
      </c>
      <c r="E50" s="25" t="s">
        <v>5</v>
      </c>
      <c r="F50" s="58" t="s">
        <v>29</v>
      </c>
      <c r="G50" s="37" t="s">
        <v>109</v>
      </c>
      <c r="H50" s="92"/>
    </row>
    <row r="51" spans="1:8" s="31" customFormat="1" ht="70.150000000000006" customHeight="1" thickTop="1" thickBot="1" x14ac:dyDescent="0.25">
      <c r="A51" s="48">
        <v>12</v>
      </c>
      <c r="B51" s="48" t="s">
        <v>112</v>
      </c>
      <c r="C51" s="49">
        <v>45745</v>
      </c>
      <c r="D51" s="50" t="s">
        <v>110</v>
      </c>
      <c r="E51" s="48" t="s">
        <v>5</v>
      </c>
      <c r="F51" s="60" t="s">
        <v>32</v>
      </c>
      <c r="G51" s="51" t="s">
        <v>111</v>
      </c>
      <c r="H51" s="52" t="s">
        <v>15</v>
      </c>
    </row>
    <row r="52" spans="1:8" s="31" customFormat="1" ht="70.150000000000006" customHeight="1" thickTop="1" x14ac:dyDescent="0.2">
      <c r="A52" s="87">
        <v>13</v>
      </c>
      <c r="B52" s="87" t="s">
        <v>102</v>
      </c>
      <c r="C52" s="40">
        <v>45751</v>
      </c>
      <c r="D52" s="47" t="s">
        <v>113</v>
      </c>
      <c r="E52" s="33" t="s">
        <v>5</v>
      </c>
      <c r="F52" s="59" t="s">
        <v>32</v>
      </c>
      <c r="G52" s="46" t="s">
        <v>114</v>
      </c>
      <c r="H52" s="90" t="s">
        <v>17</v>
      </c>
    </row>
    <row r="53" spans="1:8" s="31" customFormat="1" ht="70.150000000000006" customHeight="1" x14ac:dyDescent="0.2">
      <c r="A53" s="93"/>
      <c r="B53" s="93"/>
      <c r="C53" s="38">
        <v>45824</v>
      </c>
      <c r="D53" s="19" t="s">
        <v>115</v>
      </c>
      <c r="E53" s="17" t="s">
        <v>34</v>
      </c>
      <c r="F53" s="45" t="s">
        <v>35</v>
      </c>
      <c r="G53" s="42" t="s">
        <v>116</v>
      </c>
      <c r="H53" s="94"/>
    </row>
    <row r="54" spans="1:8" s="31" customFormat="1" ht="70.150000000000006" customHeight="1" thickBot="1" x14ac:dyDescent="0.25">
      <c r="A54" s="89"/>
      <c r="B54" s="89"/>
      <c r="C54" s="41">
        <v>45833</v>
      </c>
      <c r="D54" s="25" t="s">
        <v>117</v>
      </c>
      <c r="E54" s="25" t="s">
        <v>5</v>
      </c>
      <c r="F54" s="58" t="s">
        <v>29</v>
      </c>
      <c r="G54" s="37" t="s">
        <v>118</v>
      </c>
      <c r="H54" s="92"/>
    </row>
    <row r="55" spans="1:8" s="31" customFormat="1" ht="90" customHeight="1" thickTop="1" x14ac:dyDescent="0.2">
      <c r="A55" s="87">
        <v>14</v>
      </c>
      <c r="B55" s="87" t="s">
        <v>119</v>
      </c>
      <c r="C55" s="40">
        <v>45803</v>
      </c>
      <c r="D55" s="47" t="s">
        <v>120</v>
      </c>
      <c r="E55" s="33" t="s">
        <v>5</v>
      </c>
      <c r="F55" s="59" t="s">
        <v>32</v>
      </c>
      <c r="G55" s="46" t="s">
        <v>121</v>
      </c>
      <c r="H55" s="90" t="s">
        <v>20</v>
      </c>
    </row>
    <row r="56" spans="1:8" s="31" customFormat="1" ht="70.150000000000006" customHeight="1" x14ac:dyDescent="0.2">
      <c r="A56" s="93"/>
      <c r="B56" s="93"/>
      <c r="C56" s="38">
        <v>45811</v>
      </c>
      <c r="D56" s="19" t="s">
        <v>122</v>
      </c>
      <c r="E56" s="17" t="s">
        <v>34</v>
      </c>
      <c r="F56" s="45" t="s">
        <v>35</v>
      </c>
      <c r="G56" s="42" t="s">
        <v>123</v>
      </c>
      <c r="H56" s="94"/>
    </row>
    <row r="57" spans="1:8" s="31" customFormat="1" ht="70.150000000000006" customHeight="1" x14ac:dyDescent="0.2">
      <c r="A57" s="93"/>
      <c r="B57" s="93"/>
      <c r="C57" s="38">
        <v>45819</v>
      </c>
      <c r="D57" s="17" t="s">
        <v>124</v>
      </c>
      <c r="E57" s="17" t="s">
        <v>5</v>
      </c>
      <c r="F57" s="45" t="s">
        <v>28</v>
      </c>
      <c r="G57" s="36" t="s">
        <v>125</v>
      </c>
      <c r="H57" s="94"/>
    </row>
    <row r="58" spans="1:8" s="31" customFormat="1" ht="70.150000000000006" customHeight="1" thickBot="1" x14ac:dyDescent="0.25">
      <c r="A58" s="89"/>
      <c r="B58" s="89"/>
      <c r="C58" s="41">
        <v>45895</v>
      </c>
      <c r="D58" s="41" t="s">
        <v>126</v>
      </c>
      <c r="E58" s="25" t="s">
        <v>34</v>
      </c>
      <c r="F58" s="58" t="s">
        <v>35</v>
      </c>
      <c r="G58" s="53" t="s">
        <v>127</v>
      </c>
      <c r="H58" s="92"/>
    </row>
    <row r="59" spans="1:8" s="31" customFormat="1" ht="70.150000000000006" customHeight="1" thickTop="1" thickBot="1" x14ac:dyDescent="0.25">
      <c r="A59" s="48">
        <v>15</v>
      </c>
      <c r="B59" s="48" t="s">
        <v>129</v>
      </c>
      <c r="C59" s="49">
        <v>45808</v>
      </c>
      <c r="D59" s="50" t="s">
        <v>128</v>
      </c>
      <c r="E59" s="48" t="s">
        <v>5</v>
      </c>
      <c r="F59" s="60" t="s">
        <v>32</v>
      </c>
      <c r="G59" s="51" t="s">
        <v>163</v>
      </c>
      <c r="H59" s="52" t="s">
        <v>15</v>
      </c>
    </row>
    <row r="60" spans="1:8" s="31" customFormat="1" ht="70.150000000000006" customHeight="1" thickTop="1" x14ac:dyDescent="0.2">
      <c r="A60" s="87">
        <v>16</v>
      </c>
      <c r="B60" s="87" t="s">
        <v>130</v>
      </c>
      <c r="C60" s="40">
        <v>45818</v>
      </c>
      <c r="D60" s="47" t="s">
        <v>131</v>
      </c>
      <c r="E60" s="33" t="s">
        <v>5</v>
      </c>
      <c r="F60" s="59" t="s">
        <v>32</v>
      </c>
      <c r="G60" s="46" t="s">
        <v>132</v>
      </c>
      <c r="H60" s="90" t="s">
        <v>20</v>
      </c>
    </row>
    <row r="61" spans="1:8" s="31" customFormat="1" ht="222.95" customHeight="1" x14ac:dyDescent="0.2">
      <c r="A61" s="88"/>
      <c r="B61" s="88"/>
      <c r="C61" s="76">
        <v>45894</v>
      </c>
      <c r="D61" s="77" t="s">
        <v>133</v>
      </c>
      <c r="E61" s="75" t="s">
        <v>34</v>
      </c>
      <c r="F61" s="78" t="s">
        <v>35</v>
      </c>
      <c r="G61" s="79" t="s">
        <v>134</v>
      </c>
      <c r="H61" s="91"/>
    </row>
    <row r="62" spans="1:8" s="31" customFormat="1" ht="69.95" customHeight="1" thickBot="1" x14ac:dyDescent="0.25">
      <c r="A62" s="89"/>
      <c r="B62" s="89"/>
      <c r="C62" s="41">
        <v>45897</v>
      </c>
      <c r="D62" s="54" t="s">
        <v>161</v>
      </c>
      <c r="E62" s="25" t="s">
        <v>34</v>
      </c>
      <c r="F62" s="58" t="s">
        <v>35</v>
      </c>
      <c r="G62" s="55" t="s">
        <v>162</v>
      </c>
      <c r="H62" s="92"/>
    </row>
    <row r="63" spans="1:8" s="31" customFormat="1" ht="70.150000000000006" customHeight="1" thickTop="1" x14ac:dyDescent="0.2">
      <c r="A63" s="87">
        <v>17</v>
      </c>
      <c r="B63" s="87" t="s">
        <v>135</v>
      </c>
      <c r="C63" s="40">
        <v>45832</v>
      </c>
      <c r="D63" s="47" t="s">
        <v>136</v>
      </c>
      <c r="E63" s="33" t="s">
        <v>5</v>
      </c>
      <c r="F63" s="59" t="s">
        <v>32</v>
      </c>
      <c r="G63" s="46" t="s">
        <v>137</v>
      </c>
      <c r="H63" s="90" t="s">
        <v>17</v>
      </c>
    </row>
    <row r="64" spans="1:8" s="31" customFormat="1" ht="115.9" customHeight="1" x14ac:dyDescent="0.2">
      <c r="A64" s="93"/>
      <c r="B64" s="93"/>
      <c r="C64" s="38">
        <v>45894</v>
      </c>
      <c r="D64" s="19" t="s">
        <v>138</v>
      </c>
      <c r="E64" s="17" t="s">
        <v>34</v>
      </c>
      <c r="F64" s="45" t="s">
        <v>35</v>
      </c>
      <c r="G64" s="42" t="s">
        <v>139</v>
      </c>
      <c r="H64" s="94"/>
    </row>
    <row r="65" spans="1:8" s="31" customFormat="1" ht="70.150000000000006" customHeight="1" thickBot="1" x14ac:dyDescent="0.25">
      <c r="A65" s="89"/>
      <c r="B65" s="89"/>
      <c r="C65" s="41">
        <v>45895</v>
      </c>
      <c r="D65" s="56" t="s">
        <v>140</v>
      </c>
      <c r="E65" s="25" t="s">
        <v>5</v>
      </c>
      <c r="F65" s="58" t="s">
        <v>29</v>
      </c>
      <c r="G65" s="37" t="s">
        <v>118</v>
      </c>
      <c r="H65" s="92"/>
    </row>
    <row r="66" spans="1:8" s="31" customFormat="1" ht="70.150000000000006" customHeight="1" thickTop="1" x14ac:dyDescent="0.2">
      <c r="A66" s="87">
        <v>18</v>
      </c>
      <c r="B66" s="87" t="s">
        <v>141</v>
      </c>
      <c r="C66" s="40">
        <v>45834</v>
      </c>
      <c r="D66" s="47" t="s">
        <v>142</v>
      </c>
      <c r="E66" s="33" t="s">
        <v>5</v>
      </c>
      <c r="F66" s="59" t="s">
        <v>32</v>
      </c>
      <c r="G66" s="46" t="s">
        <v>143</v>
      </c>
      <c r="H66" s="90" t="s">
        <v>17</v>
      </c>
    </row>
    <row r="67" spans="1:8" s="31" customFormat="1" ht="165" customHeight="1" x14ac:dyDescent="0.2">
      <c r="A67" s="88"/>
      <c r="B67" s="88"/>
      <c r="C67" s="76">
        <v>45894</v>
      </c>
      <c r="D67" s="77" t="s">
        <v>144</v>
      </c>
      <c r="E67" s="75" t="s">
        <v>34</v>
      </c>
      <c r="F67" s="78" t="s">
        <v>35</v>
      </c>
      <c r="G67" s="79" t="s">
        <v>145</v>
      </c>
      <c r="H67" s="91"/>
    </row>
    <row r="68" spans="1:8" s="31" customFormat="1" ht="69.95" customHeight="1" thickBot="1" x14ac:dyDescent="0.25">
      <c r="A68" s="89"/>
      <c r="B68" s="89"/>
      <c r="C68" s="41">
        <v>45895</v>
      </c>
      <c r="D68" s="54" t="s">
        <v>160</v>
      </c>
      <c r="E68" s="25" t="s">
        <v>5</v>
      </c>
      <c r="F68" s="58" t="s">
        <v>29</v>
      </c>
      <c r="G68" s="55" t="s">
        <v>118</v>
      </c>
      <c r="H68" s="92"/>
    </row>
    <row r="69" spans="1:8" s="31" customFormat="1" ht="70.150000000000006" customHeight="1" thickTop="1" thickBot="1" x14ac:dyDescent="0.25">
      <c r="A69" s="48">
        <v>19</v>
      </c>
      <c r="B69" s="48" t="s">
        <v>146</v>
      </c>
      <c r="C69" s="49">
        <v>45838</v>
      </c>
      <c r="D69" s="50" t="s">
        <v>147</v>
      </c>
      <c r="E69" s="48" t="s">
        <v>5</v>
      </c>
      <c r="F69" s="60" t="s">
        <v>32</v>
      </c>
      <c r="G69" s="51" t="s">
        <v>148</v>
      </c>
      <c r="H69" s="52" t="s">
        <v>15</v>
      </c>
    </row>
    <row r="70" spans="1:8" s="31" customFormat="1" ht="70.150000000000006" customHeight="1" thickTop="1" thickBot="1" x14ac:dyDescent="0.25">
      <c r="A70" s="48">
        <f>+A69+1</f>
        <v>20</v>
      </c>
      <c r="B70" s="48" t="s">
        <v>174</v>
      </c>
      <c r="C70" s="85">
        <v>45971</v>
      </c>
      <c r="D70" s="50" t="s">
        <v>175</v>
      </c>
      <c r="E70" s="48" t="s">
        <v>5</v>
      </c>
      <c r="F70" s="60" t="s">
        <v>32</v>
      </c>
      <c r="G70" s="86" t="s">
        <v>176</v>
      </c>
      <c r="H70" s="52" t="s">
        <v>15</v>
      </c>
    </row>
    <row r="71" spans="1:8" s="31" customFormat="1" ht="70.150000000000006" customHeight="1" thickTop="1" x14ac:dyDescent="0.2">
      <c r="A71" s="29"/>
      <c r="B71" s="29"/>
      <c r="C71" s="30"/>
      <c r="D71" s="29"/>
      <c r="E71" s="29"/>
      <c r="F71" s="32"/>
      <c r="G71" s="32"/>
      <c r="H71" s="22"/>
    </row>
    <row r="72" spans="1:8" s="31" customFormat="1" ht="70.150000000000006" customHeight="1" x14ac:dyDescent="0.2">
      <c r="A72" s="29"/>
      <c r="B72" s="29"/>
      <c r="C72" s="30"/>
      <c r="D72" s="29"/>
      <c r="E72" s="29"/>
      <c r="F72" s="32"/>
      <c r="G72" s="32"/>
      <c r="H72" s="22"/>
    </row>
    <row r="73" spans="1:8" s="31" customFormat="1" ht="70.150000000000006" customHeight="1" x14ac:dyDescent="0.2">
      <c r="A73" s="29"/>
      <c r="B73" s="29"/>
      <c r="C73" s="30"/>
      <c r="D73" s="29"/>
      <c r="E73" s="29"/>
      <c r="F73" s="32"/>
      <c r="G73" s="32"/>
      <c r="H73" s="22"/>
    </row>
    <row r="74" spans="1:8" s="31" customFormat="1" ht="70.150000000000006" customHeight="1" x14ac:dyDescent="0.2">
      <c r="A74" s="29"/>
      <c r="B74" s="29"/>
      <c r="C74" s="30"/>
      <c r="D74" s="29"/>
      <c r="E74" s="29"/>
      <c r="F74" s="32"/>
      <c r="G74" s="32"/>
      <c r="H74" s="22"/>
    </row>
    <row r="75" spans="1:8" s="31" customFormat="1" ht="70.150000000000006" customHeight="1" x14ac:dyDescent="0.2">
      <c r="A75" s="29"/>
      <c r="B75" s="29"/>
      <c r="C75" s="30"/>
      <c r="D75" s="29"/>
      <c r="E75" s="29"/>
      <c r="F75" s="32"/>
      <c r="G75" s="32"/>
      <c r="H75" s="22"/>
    </row>
    <row r="76" spans="1:8" s="31" customFormat="1" ht="70.150000000000006" customHeight="1" x14ac:dyDescent="0.2">
      <c r="A76" s="29"/>
      <c r="B76" s="29"/>
      <c r="C76" s="30"/>
      <c r="D76" s="29"/>
      <c r="E76" s="29"/>
      <c r="F76" s="32"/>
      <c r="G76" s="32"/>
      <c r="H76" s="22"/>
    </row>
    <row r="77" spans="1:8" x14ac:dyDescent="0.2">
      <c r="C77" s="28"/>
    </row>
  </sheetData>
  <autoFilter ref="A9:H69"/>
  <mergeCells count="52">
    <mergeCell ref="A1:B3"/>
    <mergeCell ref="C1:G1"/>
    <mergeCell ref="C2:G2"/>
    <mergeCell ref="C3:G3"/>
    <mergeCell ref="H10:H12"/>
    <mergeCell ref="B10:B12"/>
    <mergeCell ref="A10:A12"/>
    <mergeCell ref="B13:B16"/>
    <mergeCell ref="A13:A16"/>
    <mergeCell ref="H13:H16"/>
    <mergeCell ref="H17:H20"/>
    <mergeCell ref="A17:A20"/>
    <mergeCell ref="B17:B20"/>
    <mergeCell ref="H21:H23"/>
    <mergeCell ref="B21:B23"/>
    <mergeCell ref="A21:A23"/>
    <mergeCell ref="H24:H26"/>
    <mergeCell ref="B24:B26"/>
    <mergeCell ref="A24:A26"/>
    <mergeCell ref="H27:H29"/>
    <mergeCell ref="B27:B29"/>
    <mergeCell ref="A27:A29"/>
    <mergeCell ref="H30:H32"/>
    <mergeCell ref="A30:A32"/>
    <mergeCell ref="B30:B32"/>
    <mergeCell ref="H33:H37"/>
    <mergeCell ref="A33:A37"/>
    <mergeCell ref="B33:B37"/>
    <mergeCell ref="B38:B42"/>
    <mergeCell ref="A38:A42"/>
    <mergeCell ref="H38:H42"/>
    <mergeCell ref="H43:H47"/>
    <mergeCell ref="B43:B47"/>
    <mergeCell ref="A43:A47"/>
    <mergeCell ref="H48:H50"/>
    <mergeCell ref="B48:B50"/>
    <mergeCell ref="A48:A50"/>
    <mergeCell ref="B52:B54"/>
    <mergeCell ref="A52:A54"/>
    <mergeCell ref="H52:H54"/>
    <mergeCell ref="H55:H58"/>
    <mergeCell ref="B55:B58"/>
    <mergeCell ref="A55:A58"/>
    <mergeCell ref="B66:B68"/>
    <mergeCell ref="A66:A68"/>
    <mergeCell ref="H66:H68"/>
    <mergeCell ref="B60:B62"/>
    <mergeCell ref="A60:A62"/>
    <mergeCell ref="H60:H62"/>
    <mergeCell ref="B63:B65"/>
    <mergeCell ref="A63:A65"/>
    <mergeCell ref="H63:H65"/>
  </mergeCells>
  <printOptions horizontalCentered="1"/>
  <pageMargins left="0.39370078740157483" right="0.39370078740157483" top="0.39370078740157483" bottom="0.19685039370078741" header="0.31496062992125984" footer="0.31496062992125984"/>
  <pageSetup paperSize="9" scale="48" fitToHeight="0" orientation="landscape" r:id="rId1"/>
  <rowBreaks count="6" manualBreakCount="6">
    <brk id="20" max="7" man="1"/>
    <brk id="29" max="7" man="1"/>
    <brk id="37" max="7" man="1"/>
    <brk id="47" max="7" man="1"/>
    <brk id="58" max="7" man="1"/>
    <brk id="65" max="7" man="1"/>
  </rowBreaks>
  <colBreaks count="1" manualBreakCount="1">
    <brk id="8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0B54FB6D-51F9-4E29-8ACC-7219A9AE2FA2}">
            <xm:f>RESUMEN!$B$4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7" operator="equal" id="{D64C30C5-60C6-4C3F-9596-181A1ABDBB2B}">
            <xm:f>RESUMEN!$B$3</xm:f>
            <x14:dxf>
              <fill>
                <patternFill>
                  <bgColor rgb="FFFFF2CC"/>
                </patternFill>
              </fill>
            </x14:dxf>
          </x14:cfRule>
          <x14:cfRule type="cellIs" priority="8" operator="equal" id="{ED93447D-C12E-41D3-A09D-5CB8F98A680E}">
            <xm:f>RESUMEN!$B$3</xm:f>
            <x14:dxf>
              <fill>
                <patternFill>
                  <bgColor rgb="FFFFFFCC"/>
                </patternFill>
              </fill>
            </x14:dxf>
          </x14:cfRule>
          <xm:sqref>H10 H13 H17 H21 H24 H27 H30 H33 H38 H43 H48 H51:H52 H55 H59:H61 H63 H66:H67 H69:H76</xm:sqref>
        </x14:conditionalFormatting>
        <x14:conditionalFormatting xmlns:xm="http://schemas.microsoft.com/office/excel/2006/main">
          <x14:cfRule type="cellIs" priority="5" operator="equal" id="{A31347AC-9742-4068-ACA3-05F55D4B4ECF}">
            <xm:f>RESUMEN!$B$5</xm:f>
            <x14:dxf>
              <fill>
                <patternFill>
                  <bgColor theme="3" tint="0.89996032593768116"/>
                </patternFill>
              </fill>
            </x14:dxf>
          </x14:cfRule>
          <xm:sqref>H10 H38 H43 H48 H51:H52 H55 H59:H61 H63 H66:H67 H69:H76 H33 H13 H17 H21 H24 H27 H30</xm:sqref>
        </x14:conditionalFormatting>
        <x14:conditionalFormatting xmlns:xm="http://schemas.microsoft.com/office/excel/2006/main">
          <x14:cfRule type="cellIs" priority="3" operator="equal" id="{2D15FD1C-3097-4097-A62E-CF4FD6ECBB8F}">
            <xm:f>RESUMEN!$B$5</xm:f>
            <x14:dxf>
              <fill>
                <patternFill>
                  <bgColor rgb="FFFFF2CC"/>
                </patternFill>
              </fill>
            </x14:dxf>
          </x14:cfRule>
          <x14:cfRule type="cellIs" priority="4" operator="equal" id="{45362025-2F42-4958-974D-340C7CB3B1D5}">
            <xm:f>RESUMEN!$B$3</xm:f>
            <x14:dxf>
              <fill>
                <patternFill>
                  <bgColor rgb="FFFF8F8F"/>
                </patternFill>
              </fill>
            </x14:dxf>
          </x14:cfRule>
          <xm:sqref>H10 H38 H43 H48 H51:H52 H55 H59:H61 H63 H66:H67 H69:H76</xm:sqref>
        </x14:conditionalFormatting>
        <x14:conditionalFormatting xmlns:xm="http://schemas.microsoft.com/office/excel/2006/main">
          <x14:cfRule type="cellIs" priority="1" operator="equal" id="{7EF0C88D-37D9-4594-8F57-107D51C93305}">
            <xm:f>RESUMEN!$B$5</xm:f>
            <x14:dxf>
              <fill>
                <patternFill>
                  <bgColor rgb="FFFFF2CC"/>
                </patternFill>
              </fill>
            </x14:dxf>
          </x14:cfRule>
          <x14:cfRule type="cellIs" priority="2" operator="equal" id="{60451BA8-0CF4-47D3-9A16-3B2B0C53FA83}">
            <xm:f>RESUMEN!$B$3</xm:f>
            <x14:dxf>
              <fill>
                <patternFill>
                  <bgColor rgb="FFFF8F8F"/>
                </patternFill>
              </fill>
            </x14:dxf>
          </x14:cfRule>
          <xm:sqref>H33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RESUMEN!$B$3:$B$5</xm:f>
          </x14:formula1>
          <xm:sqref>H10 H69:H76 H66:H67 H63 H59:H61 H55 H51:H52 H48 H43 H38 H33 H30 H27 H24 H21 H17 H13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Views>
    <sheetView topLeftCell="A3" workbookViewId="0">
      <selection activeCell="M14" sqref="M14"/>
    </sheetView>
  </sheetViews>
  <sheetFormatPr baseColWidth="10" defaultColWidth="11.625" defaultRowHeight="14.25" x14ac:dyDescent="0.2"/>
  <cols>
    <col min="1" max="1" width="11.625" style="20"/>
    <col min="2" max="2" width="16.625" style="20" customWidth="1"/>
    <col min="3" max="3" width="47.375" style="20" bestFit="1" customWidth="1"/>
    <col min="4" max="7" width="11.625" style="20"/>
    <col min="8" max="8" width="17.375" style="20" bestFit="1" customWidth="1"/>
    <col min="9" max="16384" width="11.625" style="20"/>
  </cols>
  <sheetData>
    <row r="2" spans="2:3" ht="25.15" customHeight="1" x14ac:dyDescent="0.2">
      <c r="B2" s="114" t="s">
        <v>24</v>
      </c>
      <c r="C2" s="114"/>
    </row>
    <row r="3" spans="2:3" ht="25.15" customHeight="1" x14ac:dyDescent="0.2">
      <c r="B3" s="62" t="s">
        <v>20</v>
      </c>
      <c r="C3" s="61" t="s">
        <v>16</v>
      </c>
    </row>
    <row r="4" spans="2:3" ht="25.15" customHeight="1" x14ac:dyDescent="0.2">
      <c r="B4" s="63" t="s">
        <v>17</v>
      </c>
      <c r="C4" s="61" t="s">
        <v>18</v>
      </c>
    </row>
    <row r="5" spans="2:3" ht="25.15" customHeight="1" x14ac:dyDescent="0.2">
      <c r="B5" s="64" t="s">
        <v>15</v>
      </c>
      <c r="C5" s="61" t="s">
        <v>19</v>
      </c>
    </row>
    <row r="9" spans="2:3" ht="25.15" customHeight="1" x14ac:dyDescent="0.2">
      <c r="B9" s="114" t="s">
        <v>31</v>
      </c>
      <c r="C9" s="114"/>
    </row>
    <row r="10" spans="2:3" s="65" customFormat="1" ht="25.15" customHeight="1" x14ac:dyDescent="0.2">
      <c r="B10" s="66" t="s">
        <v>26</v>
      </c>
      <c r="C10" s="67" t="s">
        <v>156</v>
      </c>
    </row>
    <row r="11" spans="2:3" s="65" customFormat="1" ht="25.15" customHeight="1" x14ac:dyDescent="0.2">
      <c r="B11" s="66" t="s">
        <v>27</v>
      </c>
      <c r="C11" s="67" t="s">
        <v>157</v>
      </c>
    </row>
    <row r="12" spans="2:3" s="65" customFormat="1" ht="25.15" customHeight="1" x14ac:dyDescent="0.2">
      <c r="B12" s="66" t="s">
        <v>28</v>
      </c>
      <c r="C12" s="67" t="s">
        <v>30</v>
      </c>
    </row>
    <row r="13" spans="2:3" s="65" customFormat="1" ht="25.15" customHeight="1" x14ac:dyDescent="0.2">
      <c r="B13" s="66" t="s">
        <v>29</v>
      </c>
      <c r="C13" s="67" t="s">
        <v>158</v>
      </c>
    </row>
    <row r="17" spans="2:8" ht="25.15" customHeight="1" x14ac:dyDescent="0.2">
      <c r="B17" s="114" t="s">
        <v>159</v>
      </c>
      <c r="C17" s="114"/>
    </row>
    <row r="18" spans="2:8" ht="25.15" customHeight="1" thickBot="1" x14ac:dyDescent="0.25">
      <c r="B18" s="71" t="s">
        <v>149</v>
      </c>
      <c r="C18" s="71">
        <f>COUNT(NC!A10:A70)</f>
        <v>20</v>
      </c>
    </row>
    <row r="19" spans="2:8" ht="25.15" customHeight="1" thickBot="1" x14ac:dyDescent="0.25">
      <c r="B19" s="68" t="s">
        <v>150</v>
      </c>
      <c r="C19" s="72">
        <f>COUNTIFS(NC!H10:H76,"CERRADO")</f>
        <v>14</v>
      </c>
      <c r="E19" s="73" t="s">
        <v>153</v>
      </c>
      <c r="F19" s="74">
        <f>C19/C18</f>
        <v>0.7</v>
      </c>
      <c r="G19" s="29" t="s">
        <v>154</v>
      </c>
      <c r="H19" s="29" t="s">
        <v>155</v>
      </c>
    </row>
    <row r="20" spans="2:8" ht="25.15" customHeight="1" x14ac:dyDescent="0.2">
      <c r="B20" s="69" t="s">
        <v>151</v>
      </c>
      <c r="C20" s="72">
        <f>COUNTIFS(NC!H10:H76,"ABIERTA")</f>
        <v>2</v>
      </c>
    </row>
    <row r="21" spans="2:8" ht="25.15" customHeight="1" x14ac:dyDescent="0.2">
      <c r="B21" s="70" t="s">
        <v>152</v>
      </c>
      <c r="C21" s="72">
        <f>COUNTIFS(NC!H10:H76,"EN PROCESO")</f>
        <v>4</v>
      </c>
    </row>
    <row r="22" spans="2:8" ht="49.9" customHeight="1" x14ac:dyDescent="0.2"/>
    <row r="23" spans="2:8" ht="49.9" customHeight="1" x14ac:dyDescent="0.2"/>
    <row r="24" spans="2:8" ht="19.899999999999999" customHeight="1" x14ac:dyDescent="0.2"/>
  </sheetData>
  <mergeCells count="3">
    <mergeCell ref="B2:C2"/>
    <mergeCell ref="B9:C9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NC</vt:lpstr>
      <vt:lpstr>RESUMEN</vt:lpstr>
      <vt:lpstr>NC!Área_de_impresión</vt:lpstr>
      <vt:lpstr>NC!Títulos_a_imprimir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Annelie Barrientos V.</dc:creator>
  <cp:lastModifiedBy>IDC</cp:lastModifiedBy>
  <cp:lastPrinted>2025-10-13T16:29:29Z</cp:lastPrinted>
  <dcterms:created xsi:type="dcterms:W3CDTF">2025-08-28T03:00:39Z</dcterms:created>
  <dcterms:modified xsi:type="dcterms:W3CDTF">2025-11-17T17:08:12Z</dcterms:modified>
</cp:coreProperties>
</file>